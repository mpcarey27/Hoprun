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alculator testing" sheetId="2" r:id="rId6"/>
  </sheets>
  <definedNames/>
  <calcPr/>
</workbook>
</file>

<file path=xl/sharedStrings.xml><?xml version="1.0" encoding="utf-8"?>
<sst xmlns="http://schemas.openxmlformats.org/spreadsheetml/2006/main" count="16" uniqueCount="16">
  <si>
    <t>Mod workout</t>
  </si>
  <si>
    <t>Easy</t>
  </si>
  <si>
    <t>Long run</t>
  </si>
  <si>
    <t>Day off</t>
  </si>
  <si>
    <t>Race</t>
  </si>
  <si>
    <t>Fartlek</t>
  </si>
  <si>
    <t>Double Threshold</t>
  </si>
  <si>
    <t>Week</t>
  </si>
  <si>
    <t>Date</t>
  </si>
  <si>
    <t>Total Miles</t>
  </si>
  <si>
    <t>Timestamp</t>
  </si>
  <si>
    <t>Untitled Question</t>
  </si>
  <si>
    <t>Acute Workload</t>
  </si>
  <si>
    <t>workout double</t>
  </si>
  <si>
    <t>Fartlek Double</t>
  </si>
  <si>
    <t>Weekly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</si>
</sst>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9900FF"/>
        <bgColor rgb="FF9900FF"/>
      </patternFill>
    </fill>
    <fill>
      <patternFill patternType="solid">
        <fgColor rgb="FFA64D79"/>
        <bgColor rgb="FFA64D79"/>
      </patternFill>
    </fill>
    <fill>
      <patternFill patternType="solid">
        <fgColor rgb="FF980000"/>
        <bgColor rgb="FF980000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3" fontId="1" numFmtId="0" xfId="0" applyAlignment="1" applyFill="1" applyFont="1">
      <alignment horizontal="right" vertical="bottom"/>
    </xf>
    <xf borderId="0" fillId="5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8" fontId="1" numFmtId="0" xfId="0" applyAlignment="1" applyFill="1" applyFont="1">
      <alignment horizontal="right" vertical="bottom"/>
    </xf>
    <xf borderId="0" fillId="9" fontId="1" numFmtId="0" xfId="0" applyAlignment="1" applyFill="1" applyFont="1">
      <alignment horizontal="right" vertical="bottom"/>
    </xf>
    <xf borderId="0" fillId="8" fontId="1" numFmtId="0" xfId="0" applyAlignment="1" applyFill="1" applyFont="1">
      <alignment horizontal="right" vertical="bottom"/>
    </xf>
    <xf borderId="0" fillId="7" fontId="1" numFmtId="0" xfId="0" applyAlignment="1" applyFill="1" applyFon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7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4" fontId="1" numFmtId="0" xfId="0" applyAlignment="1" applyFill="1" applyFont="1">
      <alignment horizontal="right" vertical="bottom"/>
    </xf>
    <xf borderId="0" fillId="5" fontId="1" numFmtId="0" xfId="0" applyAlignment="1" applyFill="1" applyFont="1">
      <alignment horizontal="right" vertical="bottom"/>
    </xf>
    <xf borderId="0" fillId="5" fontId="1" numFmtId="0" xfId="0" applyAlignment="1" applyFill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/>
    </xf>
    <xf borderId="0" fillId="10" fontId="1" numFmtId="0" xfId="0" applyAlignment="1" applyFill="1" applyFont="1">
      <alignment vertical="bottom"/>
    </xf>
    <xf borderId="0" fillId="11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30" t="s">
        <v>10</v>
      </c>
      <c r="B1" s="32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7" max="7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I1" s="8"/>
    </row>
    <row r="2">
      <c r="A2" s="9">
        <v>7.0</v>
      </c>
      <c r="B2" s="10">
        <v>3.0</v>
      </c>
      <c r="C2" s="10">
        <v>3.0</v>
      </c>
      <c r="D2" s="10">
        <v>0.0</v>
      </c>
      <c r="E2" s="10">
        <v>8.0</v>
      </c>
      <c r="F2" s="10">
        <v>5.0</v>
      </c>
      <c r="G2" s="10">
        <v>6.0</v>
      </c>
      <c r="I2" s="11"/>
    </row>
    <row r="3">
      <c r="A3" s="12"/>
      <c r="I3" s="11"/>
    </row>
    <row r="4">
      <c r="A4" s="9" t="s">
        <v>7</v>
      </c>
      <c r="B4" s="10">
        <v>1.0</v>
      </c>
      <c r="C4" s="10">
        <v>2.0</v>
      </c>
      <c r="D4" s="10">
        <v>3.0</v>
      </c>
      <c r="E4" s="10">
        <v>4.0</v>
      </c>
      <c r="F4" s="10">
        <v>5.0</v>
      </c>
      <c r="G4" s="10">
        <v>6.0</v>
      </c>
      <c r="H4" s="10">
        <v>7.0</v>
      </c>
      <c r="I4" s="10">
        <v>8.0</v>
      </c>
      <c r="J4" s="10">
        <v>9.0</v>
      </c>
      <c r="K4" s="10">
        <v>10.0</v>
      </c>
      <c r="L4" s="10">
        <v>11.0</v>
      </c>
    </row>
    <row r="5">
      <c r="A5" s="9" t="s">
        <v>8</v>
      </c>
      <c r="B5" s="13">
        <v>46307.0</v>
      </c>
      <c r="C5" s="13">
        <v>46314.0</v>
      </c>
      <c r="D5" s="13">
        <v>46321.0</v>
      </c>
      <c r="E5" s="13">
        <v>46328.0</v>
      </c>
      <c r="F5" s="13">
        <v>46335.0</v>
      </c>
      <c r="G5" s="13">
        <v>46342.0</v>
      </c>
      <c r="H5" s="13">
        <v>46349.0</v>
      </c>
      <c r="I5" s="13">
        <v>46356.0</v>
      </c>
      <c r="J5" s="13">
        <v>46363.0</v>
      </c>
      <c r="K5" s="13">
        <v>46370.0</v>
      </c>
      <c r="L5" s="13">
        <v>46377.0</v>
      </c>
    </row>
    <row r="6">
      <c r="A6" s="12"/>
      <c r="B6" s="14">
        <v>5.0</v>
      </c>
      <c r="C6" s="14">
        <v>10.0</v>
      </c>
      <c r="D6" s="14">
        <v>10.0</v>
      </c>
      <c r="E6" s="15"/>
      <c r="F6" s="14">
        <v>8.0</v>
      </c>
      <c r="G6" s="15"/>
      <c r="H6" s="14">
        <v>10.0</v>
      </c>
      <c r="I6" s="16">
        <v>10.0</v>
      </c>
      <c r="J6" s="17">
        <v>10.0</v>
      </c>
      <c r="K6" s="16">
        <v>11.0</v>
      </c>
      <c r="L6" s="16">
        <v>12.0</v>
      </c>
    </row>
    <row r="7">
      <c r="A7" s="12"/>
      <c r="B7" s="14">
        <v>10.0</v>
      </c>
      <c r="C7" s="18">
        <v>20.0</v>
      </c>
      <c r="D7" s="18">
        <v>12.0</v>
      </c>
      <c r="E7" s="14">
        <v>5.0</v>
      </c>
      <c r="F7" s="15"/>
      <c r="G7" s="14">
        <v>10.0</v>
      </c>
      <c r="H7" s="14">
        <v>10.0</v>
      </c>
      <c r="I7" s="17">
        <v>10.0</v>
      </c>
      <c r="J7" s="17">
        <v>10.0</v>
      </c>
      <c r="K7" s="17">
        <v>11.0</v>
      </c>
      <c r="L7" s="17">
        <v>10.0</v>
      </c>
    </row>
    <row r="8">
      <c r="A8" s="12"/>
      <c r="B8" s="14">
        <v>11.0</v>
      </c>
      <c r="C8" s="14">
        <v>10.0</v>
      </c>
      <c r="D8" s="14">
        <v>10.0</v>
      </c>
      <c r="E8" s="15"/>
      <c r="F8" s="14">
        <v>10.0</v>
      </c>
      <c r="G8" s="18">
        <v>20.0</v>
      </c>
      <c r="H8" s="19">
        <v>16.0</v>
      </c>
      <c r="I8" s="17">
        <v>6.0</v>
      </c>
      <c r="J8" s="20">
        <v>18.0</v>
      </c>
      <c r="K8" s="20">
        <v>20.0</v>
      </c>
      <c r="L8" s="20">
        <v>11.0</v>
      </c>
    </row>
    <row r="9">
      <c r="A9" s="12"/>
      <c r="B9" s="21">
        <v>15.0</v>
      </c>
      <c r="C9" s="21">
        <v>10.0</v>
      </c>
      <c r="D9" s="21">
        <v>12.0</v>
      </c>
      <c r="E9" s="15"/>
      <c r="F9" s="14">
        <v>12.0</v>
      </c>
      <c r="G9" s="14">
        <v>10.0</v>
      </c>
      <c r="H9" s="14">
        <v>10.0</v>
      </c>
      <c r="I9" s="4"/>
      <c r="J9" s="17">
        <v>10.0</v>
      </c>
      <c r="K9" s="17">
        <v>10.0</v>
      </c>
      <c r="L9" s="17">
        <v>10.0</v>
      </c>
    </row>
    <row r="10">
      <c r="A10" s="12"/>
      <c r="B10" s="14">
        <v>11.0</v>
      </c>
      <c r="C10" s="14">
        <v>12.0</v>
      </c>
      <c r="D10" s="14">
        <v>10.0</v>
      </c>
      <c r="E10" s="15"/>
      <c r="F10" s="14">
        <v>9.0</v>
      </c>
      <c r="G10" s="21">
        <v>10.0</v>
      </c>
      <c r="H10" s="21">
        <v>16.0</v>
      </c>
      <c r="I10" s="22">
        <v>17.0</v>
      </c>
      <c r="J10" s="23">
        <v>16.0</v>
      </c>
      <c r="K10" s="20">
        <v>20.0</v>
      </c>
      <c r="L10" s="20">
        <v>20.0</v>
      </c>
    </row>
    <row r="11">
      <c r="A11" s="12"/>
      <c r="B11" s="14">
        <v>12.0</v>
      </c>
      <c r="C11" s="24">
        <v>12.0</v>
      </c>
      <c r="D11" s="24">
        <v>12.0</v>
      </c>
      <c r="E11" s="14">
        <v>7.0</v>
      </c>
      <c r="F11" s="15"/>
      <c r="G11" s="14">
        <v>10.0</v>
      </c>
      <c r="H11" s="14">
        <v>10.0</v>
      </c>
      <c r="I11" s="17">
        <v>10.0</v>
      </c>
      <c r="J11" s="17">
        <v>10.0</v>
      </c>
      <c r="K11" s="17">
        <v>10.0</v>
      </c>
      <c r="L11" s="17">
        <v>10.0</v>
      </c>
    </row>
    <row r="12">
      <c r="A12" s="25"/>
      <c r="B12" s="26">
        <v>16.0</v>
      </c>
      <c r="C12" s="26">
        <v>16.0</v>
      </c>
      <c r="D12" s="26">
        <v>16.0</v>
      </c>
      <c r="E12" s="27">
        <v>8.0</v>
      </c>
      <c r="F12" s="27">
        <v>6.0</v>
      </c>
      <c r="G12" s="26">
        <v>16.0</v>
      </c>
      <c r="H12" s="26">
        <v>18.0</v>
      </c>
      <c r="I12" s="22">
        <v>18.0</v>
      </c>
      <c r="J12" s="22">
        <v>18.0</v>
      </c>
      <c r="K12" s="22">
        <v>18.0</v>
      </c>
      <c r="L12" s="28">
        <v>0.0</v>
      </c>
    </row>
    <row r="13">
      <c r="A13" s="29" t="s">
        <v>9</v>
      </c>
      <c r="B13" s="31">
        <f t="shared" ref="B13:H13" si="1">SUM(B6:B12)</f>
        <v>80</v>
      </c>
      <c r="C13" s="31">
        <f t="shared" si="1"/>
        <v>90</v>
      </c>
      <c r="D13" s="31">
        <f t="shared" si="1"/>
        <v>82</v>
      </c>
      <c r="E13" s="31">
        <f t="shared" si="1"/>
        <v>20</v>
      </c>
      <c r="F13" s="31">
        <f t="shared" si="1"/>
        <v>45</v>
      </c>
      <c r="G13" s="31">
        <f t="shared" si="1"/>
        <v>76</v>
      </c>
      <c r="H13" s="31">
        <f t="shared" si="1"/>
        <v>90</v>
      </c>
      <c r="I13" s="11"/>
    </row>
    <row r="14">
      <c r="A14" s="10" t="s">
        <v>12</v>
      </c>
      <c r="B14" s="31">
        <f t="shared" ref="B14:L14" si="2">SUMBYCOLOR(B6:B12,$A1:$G1,$A2:$G2)</f>
        <v>270</v>
      </c>
      <c r="C14" s="31">
        <f t="shared" si="2"/>
        <v>398</v>
      </c>
      <c r="D14" s="31">
        <f t="shared" si="2"/>
        <v>354</v>
      </c>
      <c r="E14" s="31">
        <f t="shared" si="2"/>
        <v>36</v>
      </c>
      <c r="F14" s="31">
        <f t="shared" si="2"/>
        <v>117</v>
      </c>
      <c r="G14" s="31">
        <f t="shared" si="2"/>
        <v>308</v>
      </c>
      <c r="H14" s="31">
        <f t="shared" si="2"/>
        <v>254</v>
      </c>
      <c r="I14" s="31">
        <f t="shared" si="2"/>
        <v>253</v>
      </c>
      <c r="J14" s="31">
        <f t="shared" si="2"/>
        <v>362</v>
      </c>
      <c r="K14" s="31">
        <f t="shared" si="2"/>
        <v>464</v>
      </c>
      <c r="L14" s="31">
        <f t="shared" si="2"/>
        <v>360</v>
      </c>
    </row>
    <row r="15">
      <c r="A15" s="33"/>
      <c r="E15" s="31">
        <f t="shared" ref="E15:L15" si="3">ACR(E14)</f>
        <v>0.1361058601</v>
      </c>
      <c r="F15" s="31">
        <f t="shared" si="3"/>
        <v>0.5171270718</v>
      </c>
      <c r="G15" s="31">
        <f t="shared" si="3"/>
        <v>1.511656442</v>
      </c>
      <c r="H15" s="31">
        <f t="shared" si="3"/>
        <v>1.420979021</v>
      </c>
      <c r="I15" s="31">
        <f t="shared" si="3"/>
        <v>1.08583691</v>
      </c>
      <c r="J15" s="31">
        <f t="shared" si="3"/>
        <v>1.230246389</v>
      </c>
      <c r="K15" s="31">
        <f t="shared" si="3"/>
        <v>1.392348087</v>
      </c>
      <c r="L15" s="31">
        <f t="shared" si="3"/>
        <v>1.000694927</v>
      </c>
    </row>
    <row r="16">
      <c r="I16" s="11"/>
    </row>
    <row r="17">
      <c r="I17" s="8"/>
    </row>
    <row r="18">
      <c r="I18" s="8"/>
    </row>
    <row r="19">
      <c r="I19" s="8"/>
    </row>
    <row r="26">
      <c r="A26" s="34" t="s">
        <v>13</v>
      </c>
    </row>
    <row r="27">
      <c r="A27" s="35" t="s">
        <v>14</v>
      </c>
    </row>
    <row r="38">
      <c r="A38" s="10" t="s">
        <v>15</v>
      </c>
    </row>
  </sheetData>
  <drawing r:id="rId1"/>
</worksheet>
</file>